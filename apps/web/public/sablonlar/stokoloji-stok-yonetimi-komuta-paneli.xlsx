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şla" sheetId="1" state="visible" r:id="rId1"/>
    <sheet xmlns:r="http://schemas.openxmlformats.org/officeDocument/2006/relationships" name="Komuta Paneli" sheetId="2" state="visible" r:id="rId2"/>
    <sheet xmlns:r="http://schemas.openxmlformats.org/officeDocument/2006/relationships" name="EOQ" sheetId="3" state="visible" r:id="rId3"/>
    <sheet xmlns:r="http://schemas.openxmlformats.org/officeDocument/2006/relationships" name="Emniyet Stoğu" sheetId="4" state="visible" r:id="rId4"/>
    <sheet xmlns:r="http://schemas.openxmlformats.org/officeDocument/2006/relationships" name="Sipariş Noktası" sheetId="5" state="visible" r:id="rId5"/>
    <sheet xmlns:r="http://schemas.openxmlformats.org/officeDocument/2006/relationships" name="Stok Devir Hız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₺&quot;"/>
    <numFmt numFmtId="165" formatCode="#,##0.0"/>
  </numFmts>
  <fonts count="17">
    <font>
      <name val="Calibri"/>
      <family val="2"/>
      <color theme="1"/>
      <sz val="11"/>
      <scheme val="minor"/>
    </font>
    <font>
      <name val="Consolas"/>
      <b val="1"/>
      <color rgb="000EA5A4"/>
      <sz val="11"/>
    </font>
    <font>
      <name val="Calibri"/>
      <b val="1"/>
      <color rgb="000F2A43"/>
      <sz val="20"/>
    </font>
    <font>
      <name val="Calibri"/>
      <i val="1"/>
      <color rgb="005A6B7B"/>
      <sz val="11"/>
    </font>
    <font>
      <name val="Calibri"/>
      <color rgb="000F2A43"/>
      <sz val="11"/>
    </font>
    <font>
      <name val="Calibri"/>
      <b val="1"/>
      <color rgb="00FFFFFF"/>
      <sz val="11"/>
    </font>
    <font>
      <name val="Calibri"/>
      <b val="1"/>
      <color rgb="000EA5A4"/>
      <sz val="13"/>
    </font>
    <font>
      <name val="Calibri"/>
      <b val="1"/>
      <color rgb="000F2A43"/>
      <sz val="11"/>
    </font>
    <font>
      <name val="Calibri"/>
      <color rgb="005A6B7B"/>
      <sz val="10"/>
    </font>
    <font>
      <name val="Calibri"/>
      <color rgb="000EA5A4"/>
      <sz val="9"/>
    </font>
    <font>
      <name val="Calibri"/>
      <b val="1"/>
      <color rgb="000F2A43"/>
      <sz val="12"/>
    </font>
    <font>
      <name val="Calibri"/>
      <b val="1"/>
      <color rgb="000EA5A4"/>
      <sz val="14"/>
    </font>
    <font>
      <name val="Calibri"/>
      <i val="1"/>
      <color rgb="005A6B7B"/>
      <sz val="9"/>
    </font>
    <font>
      <name val="Calibri"/>
      <b val="1"/>
      <color rgb="000EA5A4"/>
      <sz val="22"/>
    </font>
    <font>
      <name val="Calibri"/>
      <color rgb="005A6B7B"/>
      <sz val="9"/>
    </font>
    <font>
      <name val="Calibri"/>
      <color rgb="000F2A43"/>
      <sz val="10"/>
    </font>
    <font>
      <name val="Calibri"/>
      <i val="1"/>
      <color rgb="005A6B7B"/>
      <sz val="10"/>
    </font>
  </fonts>
  <fills count="6">
    <fill>
      <patternFill/>
    </fill>
    <fill>
      <patternFill patternType="gray125"/>
    </fill>
    <fill>
      <patternFill patternType="solid">
        <fgColor rgb="000F2A43"/>
      </patternFill>
    </fill>
    <fill>
      <patternFill patternType="solid">
        <fgColor rgb="00F7FAFC"/>
      </patternFill>
    </fill>
    <fill>
      <patternFill patternType="solid">
        <fgColor rgb="00E7F6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0" fillId="2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3" fontId="1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4" fillId="4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top" wrapText="1"/>
    </xf>
    <xf numFmtId="165" fontId="13" fillId="4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3" fontId="10" fillId="4" borderId="1" applyAlignment="1" applyProtection="1" pivotButton="0" quotePrefix="0" xfId="0">
      <alignment horizontal="right" vertical="center"/>
      <protection locked="0" hidden="0"/>
    </xf>
    <xf numFmtId="0" fontId="8" fillId="5" borderId="1" applyAlignment="1" pivotButton="0" quotePrefix="0" xfId="0">
      <alignment horizontal="left" vertical="center" wrapText="1"/>
    </xf>
    <xf numFmtId="164" fontId="10" fillId="4" borderId="1" applyAlignment="1" applyProtection="1" pivotButton="0" quotePrefix="0" xfId="0">
      <alignment horizontal="right" vertical="center"/>
      <protection locked="0" hidden="0"/>
    </xf>
    <xf numFmtId="3" fontId="11" fillId="4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165" fontId="10" fillId="4" borderId="1" applyAlignment="1" applyProtection="1" pivotButton="0" quotePrefix="0" xfId="0">
      <alignment horizontal="right" vertical="center"/>
      <protection locked="0" hidden="0"/>
    </xf>
    <xf numFmtId="0" fontId="12" fillId="0" borderId="0" applyAlignment="1" pivotButton="0" quotePrefix="0" xfId="0">
      <alignment horizontal="left" vertical="top" wrapText="1"/>
    </xf>
    <xf numFmtId="165" fontId="1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A43"/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60" customWidth="1" min="3" max="3"/>
    <col width="18" customWidth="1" min="4" max="4"/>
    <col width="14" customWidth="1" min="5" max="5"/>
    <col width="6" customWidth="1" min="6" max="6"/>
  </cols>
  <sheetData>
    <row r="2">
      <c r="B2" s="1" t="inlineStr">
        <is>
          <t>STOKOLOJI</t>
        </is>
      </c>
    </row>
    <row r="3" ht="28" customHeight="1">
      <c r="B3" s="2" t="inlineStr">
        <is>
          <t>Stok Yönetimi Komuta Paneli</t>
        </is>
      </c>
    </row>
    <row r="4">
      <c r="B4" s="3" t="inlineStr">
        <is>
          <t>Dört temel stok kararını tek dosyada hesapla ve yorumla.</t>
        </is>
      </c>
    </row>
    <row r="6">
      <c r="C6" s="4" t="inlineStr">
        <is>
          <t>Bu dosya; sipariş miktarından emniyet stoğuna, yeniden sipariş noktasından stok devir hızına kadar dört temel stok kararını tek yerde toplar. Sadece turkuaz hücrelere kendi rakamlarını gir; panel gerisini hesaplar ve sayıların ne anlama geldiğini Türkçe yorumlar. Formüller stokoloji.com'daki hesaplayıcılarla birebir aynıdır.</t>
        </is>
      </c>
    </row>
    <row r="7"/>
    <row r="8"/>
    <row r="9"/>
    <row r="11">
      <c r="B11" s="5" t="n"/>
      <c r="C11" s="6" t="inlineStr">
        <is>
          <t>Nasıl kullanılır</t>
        </is>
      </c>
      <c r="D11" s="5" t="n"/>
      <c r="E11" s="5" t="n"/>
    </row>
    <row r="12" ht="22" customHeight="1">
      <c r="B12" s="7" t="inlineStr">
        <is>
          <t>1</t>
        </is>
      </c>
      <c r="C12" s="8" t="inlineStr">
        <is>
          <t>Alttaki sekmelerden başla: EOQ, Emniyet Stoğu, Sipariş Noktası, Stok Devir Hızı.</t>
        </is>
      </c>
    </row>
    <row r="13" ht="22" customHeight="1">
      <c r="B13" s="7" t="inlineStr">
        <is>
          <t>2</t>
        </is>
      </c>
      <c r="C13" s="8" t="inlineStr">
        <is>
          <t>Yalnızca turkuaz renkli hücrelere kendi verini gir; beyaz hücreler otomatik hesaplanır.</t>
        </is>
      </c>
    </row>
    <row r="14" ht="22" customHeight="1">
      <c r="B14" s="7" t="inlineStr">
        <is>
          <t>3</t>
        </is>
      </c>
      <c r="C14" s="8" t="inlineStr">
        <is>
          <t>Her sayfanın altındaki yorum kutusu sonucun ne anlama geldiğini söyler.</t>
        </is>
      </c>
    </row>
    <row r="15" ht="22" customHeight="1">
      <c r="B15" s="7" t="inlineStr">
        <is>
          <t>4</t>
        </is>
      </c>
      <c r="C15" s="8" t="inlineStr">
        <is>
          <t>Komuta Paneli sekmesi tüm sonuçları tek bakışta özetler.</t>
        </is>
      </c>
    </row>
    <row r="18">
      <c r="B18" s="5" t="n"/>
      <c r="C18" s="6" t="inlineStr">
        <is>
          <t>Sekmeler</t>
        </is>
      </c>
      <c r="D18" s="5" t="n"/>
      <c r="E18" s="5" t="n"/>
    </row>
    <row r="19" ht="30" customHeight="1">
      <c r="C19" s="9" t="inlineStr">
        <is>
          <t>EOQ</t>
        </is>
      </c>
      <c r="D19" s="10" t="inlineStr">
        <is>
          <t>Ekonomik Sipariş Miktarı — siparişi kaç adetlik partiler hâlinde vereceğini bulur.</t>
        </is>
      </c>
    </row>
    <row r="20" ht="30" customHeight="1">
      <c r="C20" s="9" t="inlineStr">
        <is>
          <t>Emniyet Stoğu</t>
        </is>
      </c>
      <c r="D20" s="10" t="inlineStr">
        <is>
          <t>Talep ve tedarik dalgalanmasına karşı tutman gereken tampon stok.</t>
        </is>
      </c>
    </row>
    <row r="21" ht="30" customHeight="1">
      <c r="C21" s="9" t="inlineStr">
        <is>
          <t>Sipariş Noktası</t>
        </is>
      </c>
      <c r="D21" s="10" t="inlineStr">
        <is>
          <t>Eldeki stok hangi seviyeye düşünce yeni sipariş vermelisin (ROP).</t>
        </is>
      </c>
    </row>
    <row r="22" ht="30" customHeight="1">
      <c r="C22" s="9" t="inlineStr">
        <is>
          <t>Stok Devir Hızı</t>
        </is>
      </c>
      <c r="D22" s="10" t="inlineStr">
        <is>
          <t>Stoğunu yılda kaç kez döndürüyorsun; sermaye verimliliğinin göstergesi.</t>
        </is>
      </c>
    </row>
    <row r="25">
      <c r="B25" s="11" t="inlineStr">
        <is>
          <t>Kavramların detaylı anlatımı ve daha fazla hesaplayıcı için: stokoloji.com</t>
        </is>
      </c>
    </row>
    <row r="26">
      <c r="B26" s="11" t="inlineStr">
        <is>
          <t>© stokoloji.com — Bu şablonu ekibinle paylaşabilirsin. Hazırlayan: Stokoloji.</t>
        </is>
      </c>
    </row>
  </sheetData>
  <mergeCells count="16">
    <mergeCell ref="B4:F4"/>
    <mergeCell ref="C13:F13"/>
    <mergeCell ref="D21:F21"/>
    <mergeCell ref="D19:F19"/>
    <mergeCell ref="C11:E11"/>
    <mergeCell ref="B2:F2"/>
    <mergeCell ref="B25:F25"/>
    <mergeCell ref="C12:F12"/>
    <mergeCell ref="B3:F3"/>
    <mergeCell ref="D22:F22"/>
    <mergeCell ref="C18:E18"/>
    <mergeCell ref="C15:F15"/>
    <mergeCell ref="C6:F9"/>
    <mergeCell ref="D20:F20"/>
    <mergeCell ref="B26:F26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2A43"/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20" customWidth="1" min="4" max="4"/>
    <col width="4" customWidth="1" min="5" max="5"/>
    <col width="34" customWidth="1" min="6" max="6"/>
    <col width="20" customWidth="1" min="7" max="7"/>
    <col width="4" customWidth="1" min="8" max="8"/>
  </cols>
  <sheetData>
    <row r="2">
      <c r="B2" s="1" t="inlineStr">
        <is>
          <t>STOKOLOJI</t>
        </is>
      </c>
    </row>
    <row r="3" ht="28" customHeight="1">
      <c r="B3" s="2" t="inlineStr">
        <is>
          <t>Komuta Paneli</t>
        </is>
      </c>
    </row>
    <row r="4">
      <c r="B4" s="3" t="inlineStr">
        <is>
          <t>Dört stok kararının özeti — tek bakışta.</t>
        </is>
      </c>
    </row>
    <row r="6">
      <c r="C6" s="6" t="inlineStr">
        <is>
          <t>Ekonomik Sipariş Miktarı</t>
        </is>
      </c>
      <c r="D6" s="5" t="n"/>
      <c r="F6" s="6" t="inlineStr">
        <is>
          <t>Emniyet Stoğu</t>
        </is>
      </c>
      <c r="G6" s="5" t="n"/>
    </row>
    <row r="7" ht="36" customHeight="1">
      <c r="C7" s="12">
        <f>EOQ!D12</f>
      </c>
      <c r="D7" s="13" t="n"/>
      <c r="F7" s="12">
        <f>'Emniyet Stoğu'!D13</f>
      </c>
      <c r="G7" s="13" t="n"/>
    </row>
    <row r="8">
      <c r="C8" s="14" t="inlineStr">
        <is>
          <t>birim / sipariş</t>
        </is>
      </c>
      <c r="D8" s="13" t="n"/>
      <c r="F8" s="14" t="inlineStr">
        <is>
          <t>birim tampon</t>
        </is>
      </c>
      <c r="G8" s="13" t="n"/>
    </row>
    <row r="9" ht="18" customHeight="1">
      <c r="C9" s="15" t="inlineStr">
        <is>
          <t>En düşük maliyetli parti büyüklüğü</t>
        </is>
      </c>
      <c r="F9" s="15" t="inlineStr">
        <is>
          <t>En kötü senaryo için tampon stok</t>
        </is>
      </c>
    </row>
    <row r="10"/>
    <row r="12">
      <c r="C12" s="6" t="inlineStr">
        <is>
          <t>Yeniden Sipariş Noktası</t>
        </is>
      </c>
      <c r="D12" s="5" t="n"/>
      <c r="F12" s="6" t="inlineStr">
        <is>
          <t>Stok Devir Hızı</t>
        </is>
      </c>
      <c r="G12" s="5" t="n"/>
    </row>
    <row r="13" ht="36" customHeight="1">
      <c r="C13" s="12">
        <f>'Sipariş Noktası'!D12</f>
      </c>
      <c r="D13" s="13" t="n"/>
      <c r="F13" s="16">
        <f>'Stok Devir Hızı'!D13</f>
      </c>
      <c r="G13" s="13" t="n"/>
    </row>
    <row r="14">
      <c r="C14" s="14" t="inlineStr">
        <is>
          <t>birim</t>
        </is>
      </c>
      <c r="D14" s="13" t="n"/>
      <c r="F14" s="14" t="inlineStr">
        <is>
          <t>kez / yıl</t>
        </is>
      </c>
      <c r="G14" s="13" t="n"/>
    </row>
    <row r="15" ht="18" customHeight="1">
      <c r="C15" s="15" t="inlineStr">
        <is>
          <t>Stok buraya düşünce sipariş ver</t>
        </is>
      </c>
      <c r="F15" s="15" t="inlineStr">
        <is>
          <t>İdeal aralık: 4-6 kez / yıl</t>
        </is>
      </c>
    </row>
    <row r="16"/>
    <row r="18">
      <c r="C18" s="17" t="inlineStr">
        <is>
          <t>Rakamları değiştirmek için ilgili sekmeye git; bu panel otomatik güncellenir. Detaylı anlatım ve daha fazla araç: stokoloji.com</t>
        </is>
      </c>
    </row>
  </sheetData>
  <mergeCells count="20">
    <mergeCell ref="B2:G2"/>
    <mergeCell ref="C6:D6"/>
    <mergeCell ref="C14:D14"/>
    <mergeCell ref="F6:G6"/>
    <mergeCell ref="F7:G7"/>
    <mergeCell ref="F9:G10"/>
    <mergeCell ref="F12:G12"/>
    <mergeCell ref="F8:G8"/>
    <mergeCell ref="C12:D12"/>
    <mergeCell ref="C15:D16"/>
    <mergeCell ref="B4:G4"/>
    <mergeCell ref="F15:G16"/>
    <mergeCell ref="F13:G13"/>
    <mergeCell ref="C8:D8"/>
    <mergeCell ref="B3:G3"/>
    <mergeCell ref="C7:D7"/>
    <mergeCell ref="C13:D13"/>
    <mergeCell ref="F14:G14"/>
    <mergeCell ref="C9:D10"/>
    <mergeCell ref="C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2A43"/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" customWidth="1" min="3" max="3"/>
    <col width="16" customWidth="1" min="4" max="4"/>
    <col width="22" customWidth="1" min="5" max="5"/>
    <col width="6" customWidth="1" min="6" max="6"/>
  </cols>
  <sheetData>
    <row r="2">
      <c r="B2" s="1" t="inlineStr">
        <is>
          <t>STOKOLOJI</t>
        </is>
      </c>
    </row>
    <row r="3" ht="28" customHeight="1">
      <c r="B3" s="2" t="inlineStr">
        <is>
          <t>Ekonomik Sipariş Miktarı (EOQ)</t>
        </is>
      </c>
    </row>
    <row r="4">
      <c r="B4" s="3" t="inlineStr">
        <is>
          <t>Sipariş ve taşıma maliyetini birlikte en aza indiren parti büyüklüğü.</t>
        </is>
      </c>
    </row>
    <row r="6">
      <c r="B6" s="6" t="inlineStr">
        <is>
          <t>Senin verilerin (turkuaz hücreleri doldur)</t>
        </is>
      </c>
      <c r="C6" s="5" t="n"/>
    </row>
    <row r="7">
      <c r="B7" s="18" t="inlineStr">
        <is>
          <t>Yıllık talep (D)</t>
        </is>
      </c>
      <c r="D7" s="19" t="n">
        <v>12000</v>
      </c>
      <c r="E7" s="20" t="inlineStr">
        <is>
          <t>birim / yıl</t>
        </is>
      </c>
    </row>
    <row r="8">
      <c r="B8" s="18" t="inlineStr">
        <is>
          <t>Sipariş başına maliyet (S)</t>
        </is>
      </c>
      <c r="D8" s="21" t="n">
        <v>750</v>
      </c>
      <c r="E8" s="20" t="inlineStr">
        <is>
          <t>₺ / sipariş</t>
        </is>
      </c>
    </row>
    <row r="9">
      <c r="B9" s="18" t="inlineStr">
        <is>
          <t>Birim yıllık taşıma maliyeti (H)</t>
        </is>
      </c>
      <c r="D9" s="21" t="n">
        <v>18</v>
      </c>
      <c r="E9" s="20" t="inlineStr">
        <is>
          <t>₺ / birim·yıl</t>
        </is>
      </c>
    </row>
    <row r="11">
      <c r="B11" s="6" t="inlineStr">
        <is>
          <t>Sonuç</t>
        </is>
      </c>
      <c r="C11" s="5" t="n"/>
    </row>
    <row r="12">
      <c r="B12" s="18" t="inlineStr">
        <is>
          <t>Ekonomik sipariş miktarı (EOQ)</t>
        </is>
      </c>
      <c r="D12" s="22">
        <f>IFERROR(SQRT((2*D7*D8)/D9),0)</f>
      </c>
      <c r="E12" s="20" t="inlineStr">
        <is>
          <t>birim / sipariş</t>
        </is>
      </c>
    </row>
    <row r="13">
      <c r="B13" s="18" t="inlineStr">
        <is>
          <t>Yıllık sipariş sayısı</t>
        </is>
      </c>
      <c r="D13" s="23">
        <f>IFERROR(D7/D12,0)</f>
      </c>
      <c r="E13" s="20" t="inlineStr">
        <is>
          <t>sipariş / yıl</t>
        </is>
      </c>
    </row>
    <row r="14">
      <c r="B14" s="18" t="inlineStr">
        <is>
          <t>Siparişler arası süre</t>
        </is>
      </c>
      <c r="D14" s="24">
        <f>IFERROR(365/D13,0)</f>
      </c>
      <c r="E14" s="20" t="inlineStr">
        <is>
          <t>gün</t>
        </is>
      </c>
    </row>
    <row r="15">
      <c r="B15" s="18" t="inlineStr">
        <is>
          <t>Tahmini yıllık toplam maliyet</t>
        </is>
      </c>
      <c r="D15" s="25">
        <f>IFERROR((D7/D12)*D8+(D12/2)*D9,0)</f>
      </c>
      <c r="E15" s="20" t="inlineStr">
        <is>
          <t>₺ / yıl</t>
        </is>
      </c>
    </row>
    <row r="17">
      <c r="B17" s="6" t="inlineStr">
        <is>
          <t>Yorum</t>
        </is>
      </c>
      <c r="C17" s="5" t="n"/>
    </row>
    <row r="18">
      <c r="B18" s="26" t="inlineStr">
        <is>
          <t>Yukarıdaki EOQ, sipariş maliyeti ile taşıma maliyetini birlikte en aza indiren parti büyüklüğüdür. Daha sık ve küçük sipariş stok maliyetini düşürür ama sipariş başına maliyeti artırır; EOQ tam denge noktasıdır. 'Yıllık sipariş sayısı' ve 'siparişler arası süre' satırları, sipariş takvimini planlamana yardımcı olur.</t>
        </is>
      </c>
    </row>
    <row r="19"/>
    <row r="20"/>
    <row r="22">
      <c r="B22" s="11" t="inlineStr">
        <is>
          <t>EOQ nedir, ne zaman yetersiz kalır? → stokoloji.com/blog/eoq-nedir</t>
        </is>
      </c>
    </row>
  </sheetData>
  <mergeCells count="8">
    <mergeCell ref="B4:F4"/>
    <mergeCell ref="B18:E20"/>
    <mergeCell ref="B6:C6"/>
    <mergeCell ref="B2:F2"/>
    <mergeCell ref="B11:C11"/>
    <mergeCell ref="B3:F3"/>
    <mergeCell ref="B22:F22"/>
    <mergeCell ref="B17:C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2A43"/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" customWidth="1" min="3" max="3"/>
    <col width="16" customWidth="1" min="4" max="4"/>
    <col width="22" customWidth="1" min="5" max="5"/>
    <col width="6" customWidth="1" min="6" max="6"/>
  </cols>
  <sheetData>
    <row r="2">
      <c r="B2" s="1" t="inlineStr">
        <is>
          <t>STOKOLOJI</t>
        </is>
      </c>
    </row>
    <row r="3" ht="28" customHeight="1">
      <c r="B3" s="2" t="inlineStr">
        <is>
          <t>Emniyet Stoğu</t>
        </is>
      </c>
    </row>
    <row r="4">
      <c r="B4" s="3" t="inlineStr">
        <is>
          <t>Talep ve tedarik süresi dalgalanmasına karşı tuttuğun tampon stok.</t>
        </is>
      </c>
    </row>
    <row r="6">
      <c r="B6" s="6" t="inlineStr">
        <is>
          <t>Senin verilerin (turkuaz hücreleri doldur)</t>
        </is>
      </c>
      <c r="C6" s="5" t="n"/>
    </row>
    <row r="7">
      <c r="B7" s="18" t="inlineStr">
        <is>
          <t>Ortalama günlük talep</t>
        </is>
      </c>
      <c r="D7" s="27" t="n">
        <v>33</v>
      </c>
      <c r="E7" s="20" t="inlineStr">
        <is>
          <t>birim / gün</t>
        </is>
      </c>
    </row>
    <row r="8">
      <c r="B8" s="18" t="inlineStr">
        <is>
          <t>En yüksek günlük talep</t>
        </is>
      </c>
      <c r="D8" s="27" t="n">
        <v>55</v>
      </c>
      <c r="E8" s="20" t="inlineStr">
        <is>
          <t>birim / gün</t>
        </is>
      </c>
    </row>
    <row r="9">
      <c r="B9" s="18" t="inlineStr">
        <is>
          <t>Ortalama tedarik süresi</t>
        </is>
      </c>
      <c r="D9" s="27" t="n">
        <v>7</v>
      </c>
      <c r="E9" s="20" t="inlineStr">
        <is>
          <t>gün</t>
        </is>
      </c>
    </row>
    <row r="10">
      <c r="B10" s="18" t="inlineStr">
        <is>
          <t>En uzun tedarik süresi</t>
        </is>
      </c>
      <c r="D10" s="27" t="n">
        <v>12</v>
      </c>
      <c r="E10" s="20" t="inlineStr">
        <is>
          <t>gün</t>
        </is>
      </c>
    </row>
    <row r="12">
      <c r="B12" s="6" t="inlineStr">
        <is>
          <t>Sonuç</t>
        </is>
      </c>
      <c r="C12" s="5" t="n"/>
    </row>
    <row r="13">
      <c r="B13" s="18" t="inlineStr">
        <is>
          <t>Emniyet stoğu</t>
        </is>
      </c>
      <c r="D13" s="22">
        <f>MAX(0,(D8*D10)-(D7*D9))</f>
      </c>
      <c r="E13" s="20" t="inlineStr">
        <is>
          <t>birim</t>
        </is>
      </c>
    </row>
    <row r="15">
      <c r="B15" s="6" t="inlineStr">
        <is>
          <t>Yorum</t>
        </is>
      </c>
      <c r="C15" s="5" t="n"/>
    </row>
    <row r="16">
      <c r="B16" s="26" t="inlineStr">
        <is>
          <t>Emniyet stoğu, talebin veya tedarik süresinin beklenenden kötü gittiği durumlarda stoksuz kalmamak için tuttuğun tampondur. Yukarıdaki sayı, en kötü senaryo (en yüksek talep × en uzun tedarik) ile ortalama senaryo arasındaki farkı karşılar. Talep ve tedarik süresi ne kadar oynaksa bu tampon o kadar büyür.</t>
        </is>
      </c>
    </row>
    <row r="17"/>
    <row r="18"/>
    <row r="19">
      <c r="B19" s="28" t="inlineStr">
        <is>
          <t>Not: Bu basit (maks–ortalama) yöntem istatistik gerektirmez, KOBİ için pratiktir. Servis seviyesi (Z-skoru) yöntemini sitedeki hesaplayıcıda bulabilirsin.</t>
        </is>
      </c>
    </row>
    <row r="20"/>
    <row r="22">
      <c r="B22" s="11" t="inlineStr">
        <is>
          <t>Emniyet stoğu yöntemleri → stokoloji.com/blog/emniyet-stogu-nedir</t>
        </is>
      </c>
    </row>
  </sheetData>
  <mergeCells count="9">
    <mergeCell ref="B4:F4"/>
    <mergeCell ref="B6:C6"/>
    <mergeCell ref="B15:C15"/>
    <mergeCell ref="B2:F2"/>
    <mergeCell ref="B3:F3"/>
    <mergeCell ref="B16:E18"/>
    <mergeCell ref="B22:F22"/>
    <mergeCell ref="B19:E20"/>
    <mergeCell ref="B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2A43"/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" customWidth="1" min="3" max="3"/>
    <col width="16" customWidth="1" min="4" max="4"/>
    <col width="22" customWidth="1" min="5" max="5"/>
    <col width="6" customWidth="1" min="6" max="6"/>
  </cols>
  <sheetData>
    <row r="2">
      <c r="B2" s="1" t="inlineStr">
        <is>
          <t>STOKOLOJI</t>
        </is>
      </c>
    </row>
    <row r="3" ht="28" customHeight="1">
      <c r="B3" s="2" t="inlineStr">
        <is>
          <t>Yeniden Sipariş Noktası (ROP)</t>
        </is>
      </c>
    </row>
    <row r="4">
      <c r="B4" s="3" t="inlineStr">
        <is>
          <t>Eldeki stok bu seviyeye düşünce yeni sipariş ver.</t>
        </is>
      </c>
    </row>
    <row r="6">
      <c r="B6" s="6" t="inlineStr">
        <is>
          <t>Emniyet Stoğu sayfasından otomatik alınır</t>
        </is>
      </c>
      <c r="C6" s="5" t="n"/>
    </row>
    <row r="7">
      <c r="B7" s="18" t="inlineStr">
        <is>
          <t>Ortalama günlük talep</t>
        </is>
      </c>
      <c r="D7" s="23">
        <f>'Emniyet Stoğu'!D7</f>
      </c>
      <c r="E7" s="20" t="inlineStr">
        <is>
          <t>birim / gün</t>
        </is>
      </c>
    </row>
    <row r="8">
      <c r="B8" s="18" t="inlineStr">
        <is>
          <t>Ortalama tedarik süresi</t>
        </is>
      </c>
      <c r="D8" s="23">
        <f>'Emniyet Stoğu'!D9</f>
      </c>
      <c r="E8" s="20" t="inlineStr">
        <is>
          <t>gün</t>
        </is>
      </c>
    </row>
    <row r="9">
      <c r="B9" s="18" t="inlineStr">
        <is>
          <t>Emniyet stoğu</t>
        </is>
      </c>
      <c r="D9" s="24">
        <f>'Emniyet Stoğu'!D13</f>
      </c>
      <c r="E9" s="20" t="inlineStr">
        <is>
          <t>birim</t>
        </is>
      </c>
    </row>
    <row r="11">
      <c r="B11" s="6" t="inlineStr">
        <is>
          <t>Sonuç</t>
        </is>
      </c>
      <c r="C11" s="5" t="n"/>
    </row>
    <row r="12">
      <c r="B12" s="18" t="inlineStr">
        <is>
          <t>Yeniden sipariş noktası</t>
        </is>
      </c>
      <c r="D12" s="22">
        <f>(D7*D8)+D9</f>
      </c>
      <c r="E12" s="20" t="inlineStr">
        <is>
          <t>birim</t>
        </is>
      </c>
    </row>
    <row r="13">
      <c r="B13" s="18" t="inlineStr">
        <is>
          <t xml:space="preserve">  • Tedarik süresince talep</t>
        </is>
      </c>
      <c r="D13" s="24">
        <f>D7*D8</f>
      </c>
      <c r="E13" s="20" t="inlineStr">
        <is>
          <t>birim</t>
        </is>
      </c>
    </row>
    <row r="14">
      <c r="B14" s="18" t="inlineStr">
        <is>
          <t xml:space="preserve">  • Emniyet stoğu payı</t>
        </is>
      </c>
      <c r="D14" s="24">
        <f>D9</f>
      </c>
      <c r="E14" s="20" t="inlineStr">
        <is>
          <t>birim</t>
        </is>
      </c>
    </row>
    <row r="16">
      <c r="B16" s="6" t="inlineStr">
        <is>
          <t>Yorum</t>
        </is>
      </c>
      <c r="C16" s="5" t="n"/>
    </row>
    <row r="17">
      <c r="B17" s="26" t="inlineStr">
        <is>
          <t>Eldeki stok, yukarıdaki 'yeniden sipariş noktası' değerine düştüğü anda yeni sipariş vermelisin. Bu değer iki parçadan oluşur: tedarik süresince tükettiğin normal miktar (talep × tedarik süresi) + olası gecikme ve ani talep için tuttuğun emniyet stoğu. Böylece yeni parti gelene kadar stoksuz kalmazsın.</t>
        </is>
      </c>
    </row>
    <row r="18"/>
    <row r="19"/>
    <row r="21">
      <c r="B21" s="11" t="inlineStr">
        <is>
          <t>ROP nasıl çalışır? → stokoloji.com/blog/yeniden-siparis-noktasi</t>
        </is>
      </c>
    </row>
  </sheetData>
  <mergeCells count="8">
    <mergeCell ref="B4:F4"/>
    <mergeCell ref="B21:F21"/>
    <mergeCell ref="B6:C6"/>
    <mergeCell ref="B16:C16"/>
    <mergeCell ref="B17:E19"/>
    <mergeCell ref="B2:F2"/>
    <mergeCell ref="B11:C11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2A43"/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" customWidth="1" min="3" max="3"/>
    <col width="16" customWidth="1" min="4" max="4"/>
    <col width="22" customWidth="1" min="5" max="5"/>
    <col width="6" customWidth="1" min="6" max="6"/>
  </cols>
  <sheetData>
    <row r="2">
      <c r="B2" s="1" t="inlineStr">
        <is>
          <t>STOKOLOJI</t>
        </is>
      </c>
    </row>
    <row r="3" ht="28" customHeight="1">
      <c r="B3" s="2" t="inlineStr">
        <is>
          <t>Stok Devir Hızı</t>
        </is>
      </c>
    </row>
    <row r="4">
      <c r="B4" s="3" t="inlineStr">
        <is>
          <t>Stoğunu yılda kaç kez döndürdüğün — sermaye verimliliğinin göstergesi.</t>
        </is>
      </c>
    </row>
    <row r="6">
      <c r="B6" s="6" t="inlineStr">
        <is>
          <t>Senin verilerin (turkuaz hücreleri doldur)</t>
        </is>
      </c>
      <c r="C6" s="5" t="n"/>
    </row>
    <row r="7">
      <c r="B7" s="18" t="inlineStr">
        <is>
          <t>Yıllık satılan malın maliyeti (SMM)</t>
        </is>
      </c>
      <c r="D7" s="21" t="n">
        <v>1800000</v>
      </c>
      <c r="E7" s="20" t="inlineStr">
        <is>
          <t>₺ / yıl</t>
        </is>
      </c>
    </row>
    <row r="8">
      <c r="B8" s="18" t="inlineStr">
        <is>
          <t>Dönem başı stok değeri</t>
        </is>
      </c>
      <c r="D8" s="21" t="n">
        <v>380000</v>
      </c>
      <c r="E8" s="20" t="inlineStr">
        <is>
          <t>₺</t>
        </is>
      </c>
    </row>
    <row r="9">
      <c r="B9" s="18" t="inlineStr">
        <is>
          <t>Dönem sonu stok değeri</t>
        </is>
      </c>
      <c r="D9" s="21" t="n">
        <v>420000</v>
      </c>
      <c r="E9" s="20" t="inlineStr">
        <is>
          <t>₺</t>
        </is>
      </c>
    </row>
    <row r="11">
      <c r="B11" s="6" t="inlineStr">
        <is>
          <t>Sonuç</t>
        </is>
      </c>
      <c r="C11" s="5" t="n"/>
    </row>
    <row r="12">
      <c r="B12" s="18" t="inlineStr">
        <is>
          <t>Ortalama stok değeri</t>
        </is>
      </c>
      <c r="D12" s="25">
        <f>(D8+D9)/2</f>
      </c>
      <c r="E12" s="20" t="inlineStr">
        <is>
          <t>₺</t>
        </is>
      </c>
    </row>
    <row r="13">
      <c r="B13" s="18" t="inlineStr">
        <is>
          <t>Stok devir hızı</t>
        </is>
      </c>
      <c r="D13" s="29">
        <f>IFERROR(D7/D12,0)</f>
      </c>
      <c r="E13" s="20" t="inlineStr">
        <is>
          <t>kez / yıl</t>
        </is>
      </c>
    </row>
    <row r="14">
      <c r="B14" s="18" t="inlineStr">
        <is>
          <t>Stok devir gün sayısı</t>
        </is>
      </c>
      <c r="D14" s="24">
        <f>IFERROR(365/D13,0)</f>
      </c>
      <c r="E14" s="20" t="inlineStr">
        <is>
          <t>gün</t>
        </is>
      </c>
    </row>
    <row r="16">
      <c r="B16" s="6" t="inlineStr">
        <is>
          <t>Yorum</t>
        </is>
      </c>
      <c r="C16" s="5" t="n"/>
    </row>
    <row r="17">
      <c r="B17" s="26" t="inlineStr">
        <is>
          <t>Stok devir hızı, stoğunu yılda kaç kez döndürdüğünü gösterir; sermaye verimliliğinin temel ölçüsüdür. Genel referans aralığı:
•  4-6 kez: ideal — stok ile satış dengesi sağlıklı.
•  4 altı: düşük — sermayen stokta atıl bekliyor, yavaş/fazla ürünleri gözden geçir.
•  6-12 kez: yüksek — verimli, ama emniyet stoğunu kontrol et.
•  12 üstü: çok yüksek — sık stoksuz kalıyor olabilirsin, sipariş noktanı yükselt.
İdeal aralık sektöre göre değişir (gıda/hızlı tüketim yüksek, dayanıklı mal düşük olabilir).</t>
        </is>
      </c>
    </row>
    <row r="18"/>
    <row r="19"/>
    <row r="20"/>
    <row r="21"/>
    <row r="22">
      <c r="B22" s="11" t="inlineStr">
        <is>
          <t>İdeal devir hızı sektöre göre nasıl değişir? → stokoloji.com/blog/stok-devir-hizi</t>
        </is>
      </c>
    </row>
  </sheetData>
  <mergeCells count="8">
    <mergeCell ref="B4:F4"/>
    <mergeCell ref="B6:C6"/>
    <mergeCell ref="B16:C16"/>
    <mergeCell ref="B2:F2"/>
    <mergeCell ref="B11:C11"/>
    <mergeCell ref="B17:E21"/>
    <mergeCell ref="B3:F3"/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2026-06-16T17:06:19Z</dcterms:created>
  <dcterms:modified xmlns:dcterms="http://purl.org/dc/terms/" xmlns:xsi="http://www.w3.org/2001/XMLSchema-instance" xsi:type="dcterms:W3CDTF">2026-06-16T17:06:19Z</dcterms:modified>
</cp:coreProperties>
</file>